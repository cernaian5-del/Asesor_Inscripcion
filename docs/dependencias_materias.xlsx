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pendencias" sheetId="1" state="visible" r:id="rId3"/>
    <sheet name="Relaciones" sheetId="2" state="visible" r:id="rId4"/>
    <sheet name="Regla de desfase" sheetId="3" state="visible" r:id="rId5"/>
    <sheet name="Notas" sheetId="4" state="visible" r:id="rId6"/>
  </sheets>
  <definedNames>
    <definedName function="false" hidden="true" localSheetId="0" name="_xlnm._FilterDatabase" vbProcedure="false">Dependencias!$A$1:$H$46</definedName>
    <definedName function="false" hidden="true" localSheetId="1" name="_xlnm._FilterDatabase" vbProcedure="false">Relaciones!$A$1:$F$45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<sst xmlns="http://schemas.openxmlformats.org/spreadsheetml/2006/main" count="259" uniqueCount="127">
  <si>
    <t xml:space="preserve">Semestre</t>
  </si>
  <si>
    <t xml:space="preserve">Clave (id en Prolog)</t>
  </si>
  <si>
    <t xml:space="preserve">Materia</t>
  </si>
  <si>
    <t xml:space="preserve">Prerrequisito 1</t>
  </si>
  <si>
    <t xml:space="preserve">Prerrequisito 2</t>
  </si>
  <si>
    <t xml:space="preserve">Prerrequisito 3</t>
  </si>
  <si>
    <t xml:space="preserve">No. de prerrequisitos</t>
  </si>
  <si>
    <t xml:space="preserve">Materias que desbloquea</t>
  </si>
  <si>
    <t xml:space="preserve">fundamentos_programacion</t>
  </si>
  <si>
    <t xml:space="preserve">Fundamentos de Programación</t>
  </si>
  <si>
    <t xml:space="preserve">matematicas_discretas</t>
  </si>
  <si>
    <t xml:space="preserve">Matemáticas Discretas</t>
  </si>
  <si>
    <t xml:space="preserve">calculo</t>
  </si>
  <si>
    <t xml:space="preserve">Cálculo</t>
  </si>
  <si>
    <t xml:space="preserve">comunicacion_oral_escrita</t>
  </si>
  <si>
    <t xml:space="preserve">Comunicación Oral y Escrita</t>
  </si>
  <si>
    <t xml:space="preserve">mecanica_electromagnetismo</t>
  </si>
  <si>
    <t xml:space="preserve">Mecánica y Electromagnetismo</t>
  </si>
  <si>
    <t xml:space="preserve">fundamentos_economicos</t>
  </si>
  <si>
    <t xml:space="preserve">Fundamentos Económicos</t>
  </si>
  <si>
    <t xml:space="preserve">algoritmos_estructuras_datos</t>
  </si>
  <si>
    <t xml:space="preserve">Algoritmos y Estructuras de Datos</t>
  </si>
  <si>
    <t xml:space="preserve">fundamentos_diseno_digital</t>
  </si>
  <si>
    <t xml:space="preserve">Fundamentos de Diseño Digital</t>
  </si>
  <si>
    <t xml:space="preserve">calculo_multivariable</t>
  </si>
  <si>
    <t xml:space="preserve">Cálculo Multivariable</t>
  </si>
  <si>
    <t xml:space="preserve">ingenieria_etica_sociedad</t>
  </si>
  <si>
    <t xml:space="preserve">Ingeniería, Ética y Sociedad</t>
  </si>
  <si>
    <t xml:space="preserve">algebra_lineal</t>
  </si>
  <si>
    <t xml:space="preserve">Álgebra Lineal</t>
  </si>
  <si>
    <t xml:space="preserve">finanzas_empresariales</t>
  </si>
  <si>
    <t xml:space="preserve">Finanzas Empresariales</t>
  </si>
  <si>
    <t xml:space="preserve">analisis_diseno_algoritmos</t>
  </si>
  <si>
    <t xml:space="preserve">Análisis y Diseño de Algoritmos</t>
  </si>
  <si>
    <t xml:space="preserve">paradigmas_programacion</t>
  </si>
  <si>
    <t xml:space="preserve">Paradigmas de Programación</t>
  </si>
  <si>
    <t xml:space="preserve">ecuaciones_diferenciales</t>
  </si>
  <si>
    <t xml:space="preserve">Ecuaciones Diferenciales</t>
  </si>
  <si>
    <t xml:space="preserve">bases_datos</t>
  </si>
  <si>
    <t xml:space="preserve">Bases de Datos</t>
  </si>
  <si>
    <t xml:space="preserve">diseno_sistemas_digitales</t>
  </si>
  <si>
    <t xml:space="preserve">Diseño de Sistemas Digitales</t>
  </si>
  <si>
    <t xml:space="preserve">liderazgo_personal</t>
  </si>
  <si>
    <t xml:space="preserve">Liderazgo Personal</t>
  </si>
  <si>
    <t xml:space="preserve">fundamentos_ia</t>
  </si>
  <si>
    <t xml:space="preserve">Fundamentos de Inteligencia Artificial</t>
  </si>
  <si>
    <t xml:space="preserve">probabilidad_estadistica</t>
  </si>
  <si>
    <t xml:space="preserve">Probabilidad y Estadística</t>
  </si>
  <si>
    <t xml:space="preserve">matematicas_avanzadas</t>
  </si>
  <si>
    <t xml:space="preserve">Matemáticas Avanzadas para la Ingeniería</t>
  </si>
  <si>
    <t xml:space="preserve">tecnologias_web</t>
  </si>
  <si>
    <t xml:space="preserve">Tecnologías para el Desarrollo de Aplicaciones Web</t>
  </si>
  <si>
    <t xml:space="preserve">analisis_diseno_sistemas</t>
  </si>
  <si>
    <t xml:space="preserve">Análisis y Diseño de Sistemas</t>
  </si>
  <si>
    <t xml:space="preserve">procesamiento_digital_senales</t>
  </si>
  <si>
    <t xml:space="preserve">Procesamiento Digital de Señales</t>
  </si>
  <si>
    <t xml:space="preserve">aprendizaje_maquina</t>
  </si>
  <si>
    <t xml:space="preserve">Aprendizaje de Máquina</t>
  </si>
  <si>
    <t xml:space="preserve">vision_artificial</t>
  </si>
  <si>
    <t xml:space="preserve">Visión Artificial</t>
  </si>
  <si>
    <t xml:space="preserve">teoria_computacion</t>
  </si>
  <si>
    <t xml:space="preserve">Teoría de la Computación</t>
  </si>
  <si>
    <t xml:space="preserve">procesamiento_senales</t>
  </si>
  <si>
    <t xml:space="preserve">Procesamiento de Señales</t>
  </si>
  <si>
    <t xml:space="preserve">algoritmos_bioinspirados</t>
  </si>
  <si>
    <t xml:space="preserve">Algoritmos Bioinspirados</t>
  </si>
  <si>
    <t xml:space="preserve">tecnologias_lenguaje_natural</t>
  </si>
  <si>
    <t xml:space="preserve">Tecnologías de Lenguaje Natural</t>
  </si>
  <si>
    <t xml:space="preserve">computo_paralelo</t>
  </si>
  <si>
    <t xml:space="preserve">Cómputo Paralelo</t>
  </si>
  <si>
    <t xml:space="preserve">redes_neuronales</t>
  </si>
  <si>
    <t xml:space="preserve">Redes Neuronales y Aprendizaje Profundo</t>
  </si>
  <si>
    <t xml:space="preserve">ingenieria_software_si</t>
  </si>
  <si>
    <t xml:space="preserve">Ingeniería de Software para Sistemas Inteligentes</t>
  </si>
  <si>
    <t xml:space="preserve">optativa_a</t>
  </si>
  <si>
    <t xml:space="preserve">Optativa A</t>
  </si>
  <si>
    <t xml:space="preserve">optativa_b</t>
  </si>
  <si>
    <t xml:space="preserve">Optativa B</t>
  </si>
  <si>
    <t xml:space="preserve">metodologia_investigacion</t>
  </si>
  <si>
    <t xml:space="preserve">Metodología de la Investigación y Divulgación Científica</t>
  </si>
  <si>
    <t xml:space="preserve">reconocimiento_voz</t>
  </si>
  <si>
    <t xml:space="preserve">Reconocimiento de Voz</t>
  </si>
  <si>
    <t xml:space="preserve">trabajo_terminal_1</t>
  </si>
  <si>
    <t xml:space="preserve">Trabajo Terminal I</t>
  </si>
  <si>
    <t xml:space="preserve">formulacion_proyectos</t>
  </si>
  <si>
    <t xml:space="preserve">Formulación y Evaluación de Proyectos Informáticos</t>
  </si>
  <si>
    <t xml:space="preserve">optativa_c</t>
  </si>
  <si>
    <t xml:space="preserve">Optativa C</t>
  </si>
  <si>
    <t xml:space="preserve">optativa_d</t>
  </si>
  <si>
    <t xml:space="preserve">Optativa D</t>
  </si>
  <si>
    <t xml:space="preserve">gestion_empresarial</t>
  </si>
  <si>
    <t xml:space="preserve">Gestión Empresarial</t>
  </si>
  <si>
    <t xml:space="preserve">trabajo_terminal_2</t>
  </si>
  <si>
    <t xml:space="preserve">Trabajo Terminal II</t>
  </si>
  <si>
    <t xml:space="preserve">estancia_profesional</t>
  </si>
  <si>
    <t xml:space="preserve">Estancia Profesional</t>
  </si>
  <si>
    <t xml:space="preserve">habilidades_sociales</t>
  </si>
  <si>
    <t xml:space="preserve">Desarrollo de Habilidades Sociales para la Alta Dirección</t>
  </si>
  <si>
    <t xml:space="preserve">Total de materias</t>
  </si>
  <si>
    <t xml:space="preserve">Total de relaciones de dependencia</t>
  </si>
  <si>
    <t xml:space="preserve">Seriación SUPUESTA: el mapa curricular IIA 2020 no la incluye. Verifíquela con el plan oficial y corrija aquí y en prolog/conocimiento.pl (hechos prerrequisitos/2). Todos los prerrequisitos de una materia son obligatorios (Y lógico).</t>
  </si>
  <si>
    <t xml:space="preserve">Materia (depende de)</t>
  </si>
  <si>
    <t xml:space="preserve">Sem. materia</t>
  </si>
  <si>
    <t xml:space="preserve">Prerrequisito</t>
  </si>
  <si>
    <t xml:space="preserve">Sem. prerrequisito</t>
  </si>
  <si>
    <t xml:space="preserve">Diferencia de semestres</t>
  </si>
  <si>
    <t xml:space="preserve">¿Prerrequisito de semestre anterior?</t>
  </si>
  <si>
    <t xml:space="preserve">Regla de desfase</t>
  </si>
  <si>
    <t xml:space="preserve">Si tienes sin aprobar una materia del semestre X, no puedes cursar ninguna materia con más de N semestres de diferencia (semestre mayor a X + N).</t>
  </si>
  <si>
    <t xml:space="preserve">N (máximo de semestres de diferencia)</t>
  </si>
  <si>
    <t xml:space="preserve">← celda editable; equivale a max_desfase/1 en conocimiento.pl (valor dado por el usuario: 2)</t>
  </si>
  <si>
    <t xml:space="preserve">Semestres del plan</t>
  </si>
  <si>
    <t xml:space="preserve">Semestre de tu materia pendiente más atrasada (X)</t>
  </si>
  <si>
    <t xml:space="preserve">Semestre máximo que puedes cursar</t>
  </si>
  <si>
    <t xml:space="preserve">Materias del plan fuera de alcance (semestre superior al máximo)</t>
  </si>
  <si>
    <t xml:space="preserve">Columna C: cuántas materias del plan quedan fuera de alcance según la hoja Dependencias.</t>
  </si>
  <si>
    <t xml:space="preserve">Cómo se aplica en el sistema</t>
  </si>
  <si>
    <t xml:space="preserve">• disponibles: se excluyen las materias de semestre mayor a (semestre más atrasado pendiente + N).</t>
  </si>
  <si>
    <t xml:space="preserve">• bloqueadas: en "faltantes" aparecen los prerrequisitos pendientes y las materias atrasadas que causan el bloqueo.</t>
  </si>
  <si>
    <t xml:space="preserve">• ruta: incluye las materias atrasadas que hay que regularizar antes de llegar a la meta.</t>
  </si>
  <si>
    <t xml:space="preserve">• La regla se evalúa sobre TODO el catálogo (cualquier materia sin aprobar cuenta como "atrasada").</t>
  </si>
  <si>
    <t xml:space="preserve">Notas y supuestos</t>
  </si>
  <si>
    <t xml:space="preserve">Fuente del catálogo: mapa curricular "Ingeniería en Inteligencia Artificial 2020" (ESCOM-IPN).</t>
  </si>
  <si>
    <t xml:space="preserve">Los prerrequisitos son una PROPUESTA hecha con IA (dependencias académicas naturales); el mapa no indica seriación oficial.</t>
  </si>
  <si>
    <t xml:space="preserve">Optativas A–D se modelan con prerrequisito Fundamentos de Inteligencia Artificial (supuesto).</t>
  </si>
  <si>
    <t xml:space="preserve">Trabajo Terminal I: requiere Ingeniería de Software para Sistemas Inteligentes y Metodología de la Investigación (supuesto).</t>
  </si>
  <si>
    <t xml:space="preserve">Generado desde prolog/conocimiento.pl; si cambia la seriación en Prolog, actualiza esta hoja (o regenera).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</si>
</sst>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B42318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6A1B3D"/>
        <bgColor rgb="FF800000"/>
      </patternFill>
    </fill>
    <fill>
      <patternFill patternType="solid">
        <fgColor rgb="FFF4E1E9"/>
        <bgColor rgb="FFD9DEEA"/>
      </patternFill>
    </fill>
    <fill>
      <patternFill patternType="solid">
        <fgColor rgb="FFFFFFFF"/>
        <bgColor rgb="FFF4E1E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A"/>
      </left>
      <right style="thin">
        <color rgb="FFD9DEEA"/>
      </right>
      <top style="thin">
        <color rgb="FFD9DEEA"/>
      </top>
      <bottom style="thin">
        <color rgb="FFD9DE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6A1B3D"/>
          <bgColor rgb="FF000000"/>
        </patternFill>
      </fill>
    </dxf>
    <dxf>
      <fill>
        <patternFill patternType="solid">
          <fgColor rgb="FFF4E1E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E1E9"/>
      <rgbColor rgb="FFCCFFFF"/>
      <rgbColor rgb="FF6A1B3D"/>
      <rgbColor rgb="FFFF8080"/>
      <rgbColor rgb="FF0066CC"/>
      <rgbColor rgb="FFD9DE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231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52"/>
    <col collapsed="false" customWidth="true" hidden="false" outlineLevel="0" max="5" min="4" style="0" width="44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3" t="s">
        <v>8</v>
      </c>
      <c r="C2" s="3" t="s">
        <v>9</v>
      </c>
      <c r="D2" s="3"/>
      <c r="E2" s="3"/>
      <c r="F2" s="3"/>
      <c r="G2" s="2" t="n">
        <f aca="false">COUNTA(D2:F2)</f>
        <v>0</v>
      </c>
      <c r="H2" s="2" t="n">
        <f aca="false">COUNTIF($D$2:$F$46,C2)</f>
        <v>1</v>
      </c>
    </row>
    <row r="3" customFormat="false" ht="15" hidden="false" customHeight="false" outlineLevel="0" collapsed="false">
      <c r="A3" s="2" t="n">
        <v>1</v>
      </c>
      <c r="B3" s="3" t="s">
        <v>10</v>
      </c>
      <c r="C3" s="3" t="s">
        <v>11</v>
      </c>
      <c r="D3" s="3"/>
      <c r="E3" s="3"/>
      <c r="F3" s="3"/>
      <c r="G3" s="2" t="n">
        <f aca="false">COUNTA(D3:F3)</f>
        <v>0</v>
      </c>
      <c r="H3" s="2" t="n">
        <f aca="false">COUNTIF($D$2:$F$46,C3)</f>
        <v>2</v>
      </c>
    </row>
    <row r="4" customFormat="false" ht="15" hidden="false" customHeight="false" outlineLevel="0" collapsed="false">
      <c r="A4" s="2" t="n">
        <v>1</v>
      </c>
      <c r="B4" s="3" t="s">
        <v>12</v>
      </c>
      <c r="C4" s="3" t="s">
        <v>13</v>
      </c>
      <c r="D4" s="3"/>
      <c r="E4" s="3"/>
      <c r="F4" s="3"/>
      <c r="G4" s="2" t="n">
        <f aca="false">COUNTA(D4:F4)</f>
        <v>0</v>
      </c>
      <c r="H4" s="2" t="n">
        <f aca="false">COUNTIF($D$2:$F$46,C4)</f>
        <v>1</v>
      </c>
    </row>
    <row r="5" customFormat="false" ht="15" hidden="false" customHeight="false" outlineLevel="0" collapsed="false">
      <c r="A5" s="2" t="n">
        <v>1</v>
      </c>
      <c r="B5" s="3" t="s">
        <v>14</v>
      </c>
      <c r="C5" s="3" t="s">
        <v>15</v>
      </c>
      <c r="D5" s="3"/>
      <c r="E5" s="3"/>
      <c r="F5" s="3"/>
      <c r="G5" s="2" t="n">
        <f aca="false">COUNTA(D5:F5)</f>
        <v>0</v>
      </c>
      <c r="H5" s="2" t="n">
        <f aca="false">COUNTIF($D$2:$F$46,C5)</f>
        <v>0</v>
      </c>
    </row>
    <row r="6" customFormat="false" ht="15" hidden="false" customHeight="false" outlineLevel="0" collapsed="false">
      <c r="A6" s="2" t="n">
        <v>1</v>
      </c>
      <c r="B6" s="3" t="s">
        <v>16</v>
      </c>
      <c r="C6" s="3" t="s">
        <v>17</v>
      </c>
      <c r="D6" s="3"/>
      <c r="E6" s="3"/>
      <c r="F6" s="3"/>
      <c r="G6" s="2" t="n">
        <f aca="false">COUNTA(D6:F6)</f>
        <v>0</v>
      </c>
      <c r="H6" s="2" t="n">
        <f aca="false">COUNTIF($D$2:$F$46,C6)</f>
        <v>0</v>
      </c>
    </row>
    <row r="7" customFormat="false" ht="15" hidden="false" customHeight="false" outlineLevel="0" collapsed="false">
      <c r="A7" s="2" t="n">
        <v>1</v>
      </c>
      <c r="B7" s="3" t="s">
        <v>18</v>
      </c>
      <c r="C7" s="3" t="s">
        <v>19</v>
      </c>
      <c r="D7" s="3"/>
      <c r="E7" s="3"/>
      <c r="F7" s="3"/>
      <c r="G7" s="2" t="n">
        <f aca="false">COUNTA(D7:F7)</f>
        <v>0</v>
      </c>
      <c r="H7" s="2" t="n">
        <f aca="false">COUNTIF($D$2:$F$46,C7)</f>
        <v>1</v>
      </c>
    </row>
    <row r="8" customFormat="false" ht="15" hidden="false" customHeight="false" outlineLevel="0" collapsed="false">
      <c r="A8" s="4" t="n">
        <v>2</v>
      </c>
      <c r="B8" s="5" t="s">
        <v>20</v>
      </c>
      <c r="C8" s="5" t="s">
        <v>21</v>
      </c>
      <c r="D8" s="5" t="s">
        <v>9</v>
      </c>
      <c r="E8" s="5"/>
      <c r="F8" s="5"/>
      <c r="G8" s="4" t="n">
        <f aca="false">COUNTA(D8:F8)</f>
        <v>1</v>
      </c>
      <c r="H8" s="4" t="n">
        <f aca="false">COUNTIF($D$2:$F$46,C8)</f>
        <v>3</v>
      </c>
    </row>
    <row r="9" customFormat="false" ht="15" hidden="false" customHeight="false" outlineLevel="0" collapsed="false">
      <c r="A9" s="4" t="n">
        <v>2</v>
      </c>
      <c r="B9" s="5" t="s">
        <v>22</v>
      </c>
      <c r="C9" s="5" t="s">
        <v>23</v>
      </c>
      <c r="D9" s="5"/>
      <c r="E9" s="5"/>
      <c r="F9" s="5"/>
      <c r="G9" s="4" t="n">
        <f aca="false">COUNTA(D9:F9)</f>
        <v>0</v>
      </c>
      <c r="H9" s="4" t="n">
        <f aca="false">COUNTIF($D$2:$F$46,C9)</f>
        <v>1</v>
      </c>
    </row>
    <row r="10" customFormat="false" ht="15" hidden="false" customHeight="false" outlineLevel="0" collapsed="false">
      <c r="A10" s="4" t="n">
        <v>2</v>
      </c>
      <c r="B10" s="5" t="s">
        <v>24</v>
      </c>
      <c r="C10" s="5" t="s">
        <v>25</v>
      </c>
      <c r="D10" s="5" t="s">
        <v>13</v>
      </c>
      <c r="E10" s="5"/>
      <c r="F10" s="5"/>
      <c r="G10" s="4" t="n">
        <f aca="false">COUNTA(D10:F10)</f>
        <v>1</v>
      </c>
      <c r="H10" s="4" t="n">
        <f aca="false">COUNTIF($D$2:$F$46,C10)</f>
        <v>2</v>
      </c>
    </row>
    <row r="11" customFormat="false" ht="15" hidden="false" customHeight="false" outlineLevel="0" collapsed="false">
      <c r="A11" s="4" t="n">
        <v>2</v>
      </c>
      <c r="B11" s="5" t="s">
        <v>26</v>
      </c>
      <c r="C11" s="5" t="s">
        <v>27</v>
      </c>
      <c r="D11" s="5"/>
      <c r="E11" s="5"/>
      <c r="F11" s="5"/>
      <c r="G11" s="4" t="n">
        <f aca="false">COUNTA(D11:F11)</f>
        <v>0</v>
      </c>
      <c r="H11" s="4" t="n">
        <f aca="false">COUNTIF($D$2:$F$46,C11)</f>
        <v>0</v>
      </c>
    </row>
    <row r="12" customFormat="false" ht="15" hidden="false" customHeight="false" outlineLevel="0" collapsed="false">
      <c r="A12" s="4" t="n">
        <v>2</v>
      </c>
      <c r="B12" s="5" t="s">
        <v>28</v>
      </c>
      <c r="C12" s="5" t="s">
        <v>29</v>
      </c>
      <c r="D12" s="5"/>
      <c r="E12" s="5"/>
      <c r="F12" s="5"/>
      <c r="G12" s="4" t="n">
        <f aca="false">COUNTA(D12:F12)</f>
        <v>0</v>
      </c>
      <c r="H12" s="4" t="n">
        <f aca="false">COUNTIF($D$2:$F$46,C12)</f>
        <v>2</v>
      </c>
    </row>
    <row r="13" customFormat="false" ht="15" hidden="false" customHeight="false" outlineLevel="0" collapsed="false">
      <c r="A13" s="4" t="n">
        <v>2</v>
      </c>
      <c r="B13" s="5" t="s">
        <v>30</v>
      </c>
      <c r="C13" s="5" t="s">
        <v>31</v>
      </c>
      <c r="D13" s="5" t="s">
        <v>19</v>
      </c>
      <c r="E13" s="5"/>
      <c r="F13" s="5"/>
      <c r="G13" s="4" t="n">
        <f aca="false">COUNTA(D13:F13)</f>
        <v>1</v>
      </c>
      <c r="H13" s="4" t="n">
        <f aca="false">COUNTIF($D$2:$F$46,C13)</f>
        <v>2</v>
      </c>
    </row>
    <row r="14" customFormat="false" ht="15" hidden="false" customHeight="false" outlineLevel="0" collapsed="false">
      <c r="A14" s="2" t="n">
        <v>3</v>
      </c>
      <c r="B14" s="3" t="s">
        <v>32</v>
      </c>
      <c r="C14" s="3" t="s">
        <v>33</v>
      </c>
      <c r="D14" s="3" t="s">
        <v>21</v>
      </c>
      <c r="E14" s="3" t="s">
        <v>11</v>
      </c>
      <c r="F14" s="3"/>
      <c r="G14" s="2" t="n">
        <f aca="false">COUNTA(D14:F14)</f>
        <v>2</v>
      </c>
      <c r="H14" s="2" t="n">
        <f aca="false">COUNTIF($D$2:$F$46,C14)</f>
        <v>3</v>
      </c>
    </row>
    <row r="15" customFormat="false" ht="15" hidden="false" customHeight="false" outlineLevel="0" collapsed="false">
      <c r="A15" s="2" t="n">
        <v>3</v>
      </c>
      <c r="B15" s="3" t="s">
        <v>34</v>
      </c>
      <c r="C15" s="3" t="s">
        <v>35</v>
      </c>
      <c r="D15" s="3" t="s">
        <v>21</v>
      </c>
      <c r="E15" s="3"/>
      <c r="F15" s="3"/>
      <c r="G15" s="2" t="n">
        <f aca="false">COUNTA(D15:F15)</f>
        <v>1</v>
      </c>
      <c r="H15" s="2" t="n">
        <f aca="false">COUNTIF($D$2:$F$46,C15)</f>
        <v>1</v>
      </c>
    </row>
    <row r="16" customFormat="false" ht="15" hidden="false" customHeight="false" outlineLevel="0" collapsed="false">
      <c r="A16" s="2" t="n">
        <v>3</v>
      </c>
      <c r="B16" s="3" t="s">
        <v>36</v>
      </c>
      <c r="C16" s="3" t="s">
        <v>37</v>
      </c>
      <c r="D16" s="3" t="s">
        <v>25</v>
      </c>
      <c r="E16" s="3"/>
      <c r="F16" s="3"/>
      <c r="G16" s="2" t="n">
        <f aca="false">COUNTA(D16:F16)</f>
        <v>1</v>
      </c>
      <c r="H16" s="2" t="n">
        <f aca="false">COUNTIF($D$2:$F$46,C16)</f>
        <v>2</v>
      </c>
    </row>
    <row r="17" customFormat="false" ht="15" hidden="false" customHeight="false" outlineLevel="0" collapsed="false">
      <c r="A17" s="2" t="n">
        <v>3</v>
      </c>
      <c r="B17" s="3" t="s">
        <v>38</v>
      </c>
      <c r="C17" s="3" t="s">
        <v>39</v>
      </c>
      <c r="D17" s="3" t="s">
        <v>21</v>
      </c>
      <c r="E17" s="3"/>
      <c r="F17" s="3"/>
      <c r="G17" s="2" t="n">
        <f aca="false">COUNTA(D17:F17)</f>
        <v>1</v>
      </c>
      <c r="H17" s="2" t="n">
        <f aca="false">COUNTIF($D$2:$F$46,C17)</f>
        <v>2</v>
      </c>
    </row>
    <row r="18" customFormat="false" ht="15" hidden="false" customHeight="false" outlineLevel="0" collapsed="false">
      <c r="A18" s="2" t="n">
        <v>3</v>
      </c>
      <c r="B18" s="3" t="s">
        <v>40</v>
      </c>
      <c r="C18" s="3" t="s">
        <v>41</v>
      </c>
      <c r="D18" s="3" t="s">
        <v>23</v>
      </c>
      <c r="E18" s="3"/>
      <c r="F18" s="3"/>
      <c r="G18" s="2" t="n">
        <f aca="false">COUNTA(D18:F18)</f>
        <v>1</v>
      </c>
      <c r="H18" s="2" t="n">
        <f aca="false">COUNTIF($D$2:$F$46,C18)</f>
        <v>0</v>
      </c>
    </row>
    <row r="19" customFormat="false" ht="15" hidden="false" customHeight="false" outlineLevel="0" collapsed="false">
      <c r="A19" s="2" t="n">
        <v>3</v>
      </c>
      <c r="B19" s="3" t="s">
        <v>42</v>
      </c>
      <c r="C19" s="3" t="s">
        <v>43</v>
      </c>
      <c r="D19" s="3"/>
      <c r="E19" s="3"/>
      <c r="F19" s="3"/>
      <c r="G19" s="2" t="n">
        <f aca="false">COUNTA(D19:F19)</f>
        <v>0</v>
      </c>
      <c r="H19" s="2" t="n">
        <f aca="false">COUNTIF($D$2:$F$46,C19)</f>
        <v>1</v>
      </c>
    </row>
    <row r="20" customFormat="false" ht="15" hidden="false" customHeight="false" outlineLevel="0" collapsed="false">
      <c r="A20" s="4" t="n">
        <v>4</v>
      </c>
      <c r="B20" s="5" t="s">
        <v>44</v>
      </c>
      <c r="C20" s="5" t="s">
        <v>45</v>
      </c>
      <c r="D20" s="5" t="s">
        <v>35</v>
      </c>
      <c r="E20" s="5" t="s">
        <v>11</v>
      </c>
      <c r="F20" s="5"/>
      <c r="G20" s="4" t="n">
        <f aca="false">COUNTA(D20:F20)</f>
        <v>2</v>
      </c>
      <c r="H20" s="4" t="n">
        <f aca="false">COUNTIF($D$2:$F$46,C20)</f>
        <v>9</v>
      </c>
    </row>
    <row r="21" customFormat="false" ht="15" hidden="false" customHeight="false" outlineLevel="0" collapsed="false">
      <c r="A21" s="4" t="n">
        <v>4</v>
      </c>
      <c r="B21" s="5" t="s">
        <v>46</v>
      </c>
      <c r="C21" s="5" t="s">
        <v>47</v>
      </c>
      <c r="D21" s="5" t="s">
        <v>25</v>
      </c>
      <c r="E21" s="5"/>
      <c r="F21" s="5"/>
      <c r="G21" s="4" t="n">
        <f aca="false">COUNTA(D21:F21)</f>
        <v>1</v>
      </c>
      <c r="H21" s="4" t="n">
        <f aca="false">COUNTIF($D$2:$F$46,C21)</f>
        <v>1</v>
      </c>
    </row>
    <row r="22" customFormat="false" ht="15" hidden="false" customHeight="false" outlineLevel="0" collapsed="false">
      <c r="A22" s="4" t="n">
        <v>4</v>
      </c>
      <c r="B22" s="5" t="s">
        <v>48</v>
      </c>
      <c r="C22" s="5" t="s">
        <v>49</v>
      </c>
      <c r="D22" s="5" t="s">
        <v>37</v>
      </c>
      <c r="E22" s="5" t="s">
        <v>29</v>
      </c>
      <c r="F22" s="5"/>
      <c r="G22" s="4" t="n">
        <f aca="false">COUNTA(D22:F22)</f>
        <v>2</v>
      </c>
      <c r="H22" s="4" t="n">
        <f aca="false">COUNTIF($D$2:$F$46,C22)</f>
        <v>0</v>
      </c>
    </row>
    <row r="23" customFormat="false" ht="15" hidden="false" customHeight="false" outlineLevel="0" collapsed="false">
      <c r="A23" s="4" t="n">
        <v>4</v>
      </c>
      <c r="B23" s="5" t="s">
        <v>50</v>
      </c>
      <c r="C23" s="5" t="s">
        <v>51</v>
      </c>
      <c r="D23" s="5" t="s">
        <v>39</v>
      </c>
      <c r="E23" s="5"/>
      <c r="F23" s="5"/>
      <c r="G23" s="4" t="n">
        <f aca="false">COUNTA(D23:F23)</f>
        <v>1</v>
      </c>
      <c r="H23" s="4" t="n">
        <f aca="false">COUNTIF($D$2:$F$46,C23)</f>
        <v>0</v>
      </c>
    </row>
    <row r="24" customFormat="false" ht="15" hidden="false" customHeight="false" outlineLevel="0" collapsed="false">
      <c r="A24" s="4" t="n">
        <v>4</v>
      </c>
      <c r="B24" s="5" t="s">
        <v>52</v>
      </c>
      <c r="C24" s="5" t="s">
        <v>53</v>
      </c>
      <c r="D24" s="5" t="s">
        <v>39</v>
      </c>
      <c r="E24" s="5"/>
      <c r="F24" s="5"/>
      <c r="G24" s="4" t="n">
        <f aca="false">COUNTA(D24:F24)</f>
        <v>1</v>
      </c>
      <c r="H24" s="4" t="n">
        <f aca="false">COUNTIF($D$2:$F$46,C24)</f>
        <v>1</v>
      </c>
    </row>
    <row r="25" customFormat="false" ht="15" hidden="false" customHeight="false" outlineLevel="0" collapsed="false">
      <c r="A25" s="4" t="n">
        <v>4</v>
      </c>
      <c r="B25" s="5" t="s">
        <v>54</v>
      </c>
      <c r="C25" s="5" t="s">
        <v>55</v>
      </c>
      <c r="D25" s="5" t="s">
        <v>37</v>
      </c>
      <c r="E25" s="5" t="s">
        <v>29</v>
      </c>
      <c r="F25" s="5"/>
      <c r="G25" s="4" t="n">
        <f aca="false">COUNTA(D25:F25)</f>
        <v>2</v>
      </c>
      <c r="H25" s="4" t="n">
        <f aca="false">COUNTIF($D$2:$F$46,C25)</f>
        <v>2</v>
      </c>
    </row>
    <row r="26" customFormat="false" ht="15" hidden="false" customHeight="false" outlineLevel="0" collapsed="false">
      <c r="A26" s="2" t="n">
        <v>5</v>
      </c>
      <c r="B26" s="3" t="s">
        <v>56</v>
      </c>
      <c r="C26" s="3" t="s">
        <v>57</v>
      </c>
      <c r="D26" s="3" t="s">
        <v>45</v>
      </c>
      <c r="E26" s="3" t="s">
        <v>47</v>
      </c>
      <c r="F26" s="3"/>
      <c r="G26" s="2" t="n">
        <f aca="false">COUNTA(D26:F26)</f>
        <v>2</v>
      </c>
      <c r="H26" s="2" t="n">
        <f aca="false">COUNTIF($D$2:$F$46,C26)</f>
        <v>2</v>
      </c>
    </row>
    <row r="27" customFormat="false" ht="15" hidden="false" customHeight="false" outlineLevel="0" collapsed="false">
      <c r="A27" s="2" t="n">
        <v>5</v>
      </c>
      <c r="B27" s="3" t="s">
        <v>58</v>
      </c>
      <c r="C27" s="3" t="s">
        <v>59</v>
      </c>
      <c r="D27" s="3" t="s">
        <v>45</v>
      </c>
      <c r="E27" s="3" t="s">
        <v>55</v>
      </c>
      <c r="F27" s="3"/>
      <c r="G27" s="2" t="n">
        <f aca="false">COUNTA(D27:F27)</f>
        <v>2</v>
      </c>
      <c r="H27" s="2" t="n">
        <f aca="false">COUNTIF($D$2:$F$46,C27)</f>
        <v>0</v>
      </c>
    </row>
    <row r="28" customFormat="false" ht="15" hidden="false" customHeight="false" outlineLevel="0" collapsed="false">
      <c r="A28" s="2" t="n">
        <v>5</v>
      </c>
      <c r="B28" s="3" t="s">
        <v>60</v>
      </c>
      <c r="C28" s="3" t="s">
        <v>61</v>
      </c>
      <c r="D28" s="3" t="s">
        <v>33</v>
      </c>
      <c r="E28" s="3"/>
      <c r="F28" s="3"/>
      <c r="G28" s="2" t="n">
        <f aca="false">COUNTA(D28:F28)</f>
        <v>1</v>
      </c>
      <c r="H28" s="2" t="n">
        <f aca="false">COUNTIF($D$2:$F$46,C28)</f>
        <v>0</v>
      </c>
    </row>
    <row r="29" customFormat="false" ht="15" hidden="false" customHeight="false" outlineLevel="0" collapsed="false">
      <c r="A29" s="2" t="n">
        <v>5</v>
      </c>
      <c r="B29" s="3" t="s">
        <v>62</v>
      </c>
      <c r="C29" s="3" t="s">
        <v>63</v>
      </c>
      <c r="D29" s="3" t="s">
        <v>55</v>
      </c>
      <c r="E29" s="3"/>
      <c r="F29" s="3"/>
      <c r="G29" s="2" t="n">
        <f aca="false">COUNTA(D29:F29)</f>
        <v>1</v>
      </c>
      <c r="H29" s="2" t="n">
        <f aca="false">COUNTIF($D$2:$F$46,C29)</f>
        <v>1</v>
      </c>
    </row>
    <row r="30" customFormat="false" ht="15" hidden="false" customHeight="false" outlineLevel="0" collapsed="false">
      <c r="A30" s="2" t="n">
        <v>5</v>
      </c>
      <c r="B30" s="3" t="s">
        <v>64</v>
      </c>
      <c r="C30" s="3" t="s">
        <v>65</v>
      </c>
      <c r="D30" s="3" t="s">
        <v>45</v>
      </c>
      <c r="E30" s="3" t="s">
        <v>33</v>
      </c>
      <c r="F30" s="3"/>
      <c r="G30" s="2" t="n">
        <f aca="false">COUNTA(D30:F30)</f>
        <v>2</v>
      </c>
      <c r="H30" s="2" t="n">
        <f aca="false">COUNTIF($D$2:$F$46,C30)</f>
        <v>0</v>
      </c>
    </row>
    <row r="31" customFormat="false" ht="15" hidden="false" customHeight="false" outlineLevel="0" collapsed="false">
      <c r="A31" s="2" t="n">
        <v>5</v>
      </c>
      <c r="B31" s="3" t="s">
        <v>66</v>
      </c>
      <c r="C31" s="3" t="s">
        <v>67</v>
      </c>
      <c r="D31" s="3" t="s">
        <v>45</v>
      </c>
      <c r="E31" s="3"/>
      <c r="F31" s="3"/>
      <c r="G31" s="2" t="n">
        <f aca="false">COUNTA(D31:F31)</f>
        <v>1</v>
      </c>
      <c r="H31" s="2" t="n">
        <f aca="false">COUNTIF($D$2:$F$46,C31)</f>
        <v>0</v>
      </c>
    </row>
    <row r="32" customFormat="false" ht="15" hidden="false" customHeight="false" outlineLevel="0" collapsed="false">
      <c r="A32" s="4" t="n">
        <v>6</v>
      </c>
      <c r="B32" s="5" t="s">
        <v>68</v>
      </c>
      <c r="C32" s="5" t="s">
        <v>69</v>
      </c>
      <c r="D32" s="5" t="s">
        <v>33</v>
      </c>
      <c r="E32" s="5"/>
      <c r="F32" s="5"/>
      <c r="G32" s="4" t="n">
        <f aca="false">COUNTA(D32:F32)</f>
        <v>1</v>
      </c>
      <c r="H32" s="4" t="n">
        <f aca="false">COUNTIF($D$2:$F$46,C32)</f>
        <v>0</v>
      </c>
    </row>
    <row r="33" customFormat="false" ht="15" hidden="false" customHeight="false" outlineLevel="0" collapsed="false">
      <c r="A33" s="4" t="n">
        <v>6</v>
      </c>
      <c r="B33" s="5" t="s">
        <v>70</v>
      </c>
      <c r="C33" s="5" t="s">
        <v>71</v>
      </c>
      <c r="D33" s="5" t="s">
        <v>57</v>
      </c>
      <c r="E33" s="5"/>
      <c r="F33" s="5"/>
      <c r="G33" s="4" t="n">
        <f aca="false">COUNTA(D33:F33)</f>
        <v>1</v>
      </c>
      <c r="H33" s="4" t="n">
        <f aca="false">COUNTIF($D$2:$F$46,C33)</f>
        <v>0</v>
      </c>
    </row>
    <row r="34" customFormat="false" ht="15" hidden="false" customHeight="false" outlineLevel="0" collapsed="false">
      <c r="A34" s="4" t="n">
        <v>6</v>
      </c>
      <c r="B34" s="5" t="s">
        <v>72</v>
      </c>
      <c r="C34" s="5" t="s">
        <v>73</v>
      </c>
      <c r="D34" s="5" t="s">
        <v>53</v>
      </c>
      <c r="E34" s="5" t="s">
        <v>45</v>
      </c>
      <c r="F34" s="5"/>
      <c r="G34" s="4" t="n">
        <f aca="false">COUNTA(D34:F34)</f>
        <v>2</v>
      </c>
      <c r="H34" s="4" t="n">
        <f aca="false">COUNTIF($D$2:$F$46,C34)</f>
        <v>1</v>
      </c>
    </row>
    <row r="35" customFormat="false" ht="15" hidden="false" customHeight="false" outlineLevel="0" collapsed="false">
      <c r="A35" s="4" t="n">
        <v>6</v>
      </c>
      <c r="B35" s="5" t="s">
        <v>74</v>
      </c>
      <c r="C35" s="5" t="s">
        <v>75</v>
      </c>
      <c r="D35" s="5" t="s">
        <v>45</v>
      </c>
      <c r="E35" s="5"/>
      <c r="F35" s="5"/>
      <c r="G35" s="4" t="n">
        <f aca="false">COUNTA(D35:F35)</f>
        <v>1</v>
      </c>
      <c r="H35" s="4" t="n">
        <f aca="false">COUNTIF($D$2:$F$46,C35)</f>
        <v>0</v>
      </c>
    </row>
    <row r="36" customFormat="false" ht="15" hidden="false" customHeight="false" outlineLevel="0" collapsed="false">
      <c r="A36" s="4" t="n">
        <v>6</v>
      </c>
      <c r="B36" s="5" t="s">
        <v>76</v>
      </c>
      <c r="C36" s="5" t="s">
        <v>77</v>
      </c>
      <c r="D36" s="5" t="s">
        <v>45</v>
      </c>
      <c r="E36" s="5"/>
      <c r="F36" s="5"/>
      <c r="G36" s="4" t="n">
        <f aca="false">COUNTA(D36:F36)</f>
        <v>1</v>
      </c>
      <c r="H36" s="4" t="n">
        <f aca="false">COUNTIF($D$2:$F$46,C36)</f>
        <v>0</v>
      </c>
    </row>
    <row r="37" customFormat="false" ht="15" hidden="false" customHeight="false" outlineLevel="0" collapsed="false">
      <c r="A37" s="4" t="n">
        <v>6</v>
      </c>
      <c r="B37" s="5" t="s">
        <v>78</v>
      </c>
      <c r="C37" s="5" t="s">
        <v>79</v>
      </c>
      <c r="D37" s="5"/>
      <c r="E37" s="5"/>
      <c r="F37" s="5"/>
      <c r="G37" s="4" t="n">
        <f aca="false">COUNTA(D37:F37)</f>
        <v>0</v>
      </c>
      <c r="H37" s="4" t="n">
        <f aca="false">COUNTIF($D$2:$F$46,C37)</f>
        <v>1</v>
      </c>
    </row>
    <row r="38" customFormat="false" ht="15" hidden="false" customHeight="false" outlineLevel="0" collapsed="false">
      <c r="A38" s="2" t="n">
        <v>7</v>
      </c>
      <c r="B38" s="3" t="s">
        <v>80</v>
      </c>
      <c r="C38" s="3" t="s">
        <v>81</v>
      </c>
      <c r="D38" s="3" t="s">
        <v>63</v>
      </c>
      <c r="E38" s="3" t="s">
        <v>57</v>
      </c>
      <c r="F38" s="3"/>
      <c r="G38" s="2" t="n">
        <f aca="false">COUNTA(D38:F38)</f>
        <v>2</v>
      </c>
      <c r="H38" s="2" t="n">
        <f aca="false">COUNTIF($D$2:$F$46,C38)</f>
        <v>0</v>
      </c>
    </row>
    <row r="39" customFormat="false" ht="15" hidden="false" customHeight="false" outlineLevel="0" collapsed="false">
      <c r="A39" s="2" t="n">
        <v>7</v>
      </c>
      <c r="B39" s="3" t="s">
        <v>82</v>
      </c>
      <c r="C39" s="3" t="s">
        <v>83</v>
      </c>
      <c r="D39" s="3" t="s">
        <v>73</v>
      </c>
      <c r="E39" s="3" t="s">
        <v>79</v>
      </c>
      <c r="F39" s="3"/>
      <c r="G39" s="2" t="n">
        <f aca="false">COUNTA(D39:F39)</f>
        <v>2</v>
      </c>
      <c r="H39" s="2" t="n">
        <f aca="false">COUNTIF($D$2:$F$46,C39)</f>
        <v>2</v>
      </c>
    </row>
    <row r="40" customFormat="false" ht="15" hidden="false" customHeight="false" outlineLevel="0" collapsed="false">
      <c r="A40" s="2" t="n">
        <v>7</v>
      </c>
      <c r="B40" s="3" t="s">
        <v>84</v>
      </c>
      <c r="C40" s="3" t="s">
        <v>85</v>
      </c>
      <c r="D40" s="3" t="s">
        <v>31</v>
      </c>
      <c r="E40" s="3"/>
      <c r="F40" s="3"/>
      <c r="G40" s="2" t="n">
        <f aca="false">COUNTA(D40:F40)</f>
        <v>1</v>
      </c>
      <c r="H40" s="2" t="n">
        <f aca="false">COUNTIF($D$2:$F$46,C40)</f>
        <v>0</v>
      </c>
    </row>
    <row r="41" customFormat="false" ht="15" hidden="false" customHeight="false" outlineLevel="0" collapsed="false">
      <c r="A41" s="2" t="n">
        <v>7</v>
      </c>
      <c r="B41" s="3" t="s">
        <v>86</v>
      </c>
      <c r="C41" s="3" t="s">
        <v>87</v>
      </c>
      <c r="D41" s="3" t="s">
        <v>45</v>
      </c>
      <c r="E41" s="3"/>
      <c r="F41" s="3"/>
      <c r="G41" s="2" t="n">
        <f aca="false">COUNTA(D41:F41)</f>
        <v>1</v>
      </c>
      <c r="H41" s="2" t="n">
        <f aca="false">COUNTIF($D$2:$F$46,C41)</f>
        <v>0</v>
      </c>
    </row>
    <row r="42" customFormat="false" ht="15" hidden="false" customHeight="false" outlineLevel="0" collapsed="false">
      <c r="A42" s="2" t="n">
        <v>7</v>
      </c>
      <c r="B42" s="3" t="s">
        <v>88</v>
      </c>
      <c r="C42" s="3" t="s">
        <v>89</v>
      </c>
      <c r="D42" s="3" t="s">
        <v>45</v>
      </c>
      <c r="E42" s="3"/>
      <c r="F42" s="3"/>
      <c r="G42" s="2" t="n">
        <f aca="false">COUNTA(D42:F42)</f>
        <v>1</v>
      </c>
      <c r="H42" s="2" t="n">
        <f aca="false">COUNTIF($D$2:$F$46,C42)</f>
        <v>0</v>
      </c>
    </row>
    <row r="43" customFormat="false" ht="15" hidden="false" customHeight="false" outlineLevel="0" collapsed="false">
      <c r="A43" s="4" t="n">
        <v>8</v>
      </c>
      <c r="B43" s="5" t="s">
        <v>90</v>
      </c>
      <c r="C43" s="5" t="s">
        <v>91</v>
      </c>
      <c r="D43" s="5" t="s">
        <v>31</v>
      </c>
      <c r="E43" s="5"/>
      <c r="F43" s="5"/>
      <c r="G43" s="4" t="n">
        <f aca="false">COUNTA(D43:F43)</f>
        <v>1</v>
      </c>
      <c r="H43" s="4" t="n">
        <f aca="false">COUNTIF($D$2:$F$46,C43)</f>
        <v>0</v>
      </c>
    </row>
    <row r="44" customFormat="false" ht="15" hidden="false" customHeight="false" outlineLevel="0" collapsed="false">
      <c r="A44" s="4" t="n">
        <v>8</v>
      </c>
      <c r="B44" s="5" t="s">
        <v>92</v>
      </c>
      <c r="C44" s="5" t="s">
        <v>93</v>
      </c>
      <c r="D44" s="5" t="s">
        <v>83</v>
      </c>
      <c r="E44" s="5"/>
      <c r="F44" s="5"/>
      <c r="G44" s="4" t="n">
        <f aca="false">COUNTA(D44:F44)</f>
        <v>1</v>
      </c>
      <c r="H44" s="4" t="n">
        <f aca="false">COUNTIF($D$2:$F$46,C44)</f>
        <v>0</v>
      </c>
    </row>
    <row r="45" customFormat="false" ht="15" hidden="false" customHeight="false" outlineLevel="0" collapsed="false">
      <c r="A45" s="4" t="n">
        <v>8</v>
      </c>
      <c r="B45" s="5" t="s">
        <v>94</v>
      </c>
      <c r="C45" s="5" t="s">
        <v>95</v>
      </c>
      <c r="D45" s="5" t="s">
        <v>83</v>
      </c>
      <c r="E45" s="5"/>
      <c r="F45" s="5"/>
      <c r="G45" s="4" t="n">
        <f aca="false">COUNTA(D45:F45)</f>
        <v>1</v>
      </c>
      <c r="H45" s="4" t="n">
        <f aca="false">COUNTIF($D$2:$F$46,C45)</f>
        <v>0</v>
      </c>
    </row>
    <row r="46" customFormat="false" ht="15" hidden="false" customHeight="false" outlineLevel="0" collapsed="false">
      <c r="A46" s="4" t="n">
        <v>8</v>
      </c>
      <c r="B46" s="5" t="s">
        <v>96</v>
      </c>
      <c r="C46" s="5" t="s">
        <v>97</v>
      </c>
      <c r="D46" s="5" t="s">
        <v>43</v>
      </c>
      <c r="E46" s="5"/>
      <c r="F46" s="5"/>
      <c r="G46" s="4" t="n">
        <f aca="false">COUNTA(D46:F46)</f>
        <v>1</v>
      </c>
      <c r="H46" s="4" t="n">
        <f aca="false">COUNTIF($D$2:$F$46,C46)</f>
        <v>0</v>
      </c>
    </row>
    <row r="48" customFormat="false" ht="15" hidden="false" customHeight="false" outlineLevel="0" collapsed="false">
      <c r="C48" s="6" t="s">
        <v>98</v>
      </c>
      <c r="D48" s="7" t="n">
        <f aca="false">COUNTA(C2:C46)</f>
        <v>45</v>
      </c>
    </row>
    <row r="49" customFormat="false" ht="15" hidden="false" customHeight="false" outlineLevel="0" collapsed="false">
      <c r="C49" s="6" t="s">
        <v>99</v>
      </c>
      <c r="D49" s="7" t="n">
        <f aca="false">SUM(G2:G46)</f>
        <v>44</v>
      </c>
    </row>
    <row r="51" customFormat="false" ht="15" hidden="false" customHeight="false" outlineLevel="0" collapsed="false">
      <c r="A51" s="8" t="s">
        <v>100</v>
      </c>
    </row>
  </sheetData>
  <autoFilter ref="A1:H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8"/>
  </cols>
  <sheetData>
    <row r="1" customFormat="false" ht="30" hidden="false" customHeight="true" outlineLevel="0" collapsed="false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</row>
    <row r="2" customFormat="false" ht="15" hidden="false" customHeight="false" outlineLevel="0" collapsed="false">
      <c r="A2" s="9" t="s">
        <v>21</v>
      </c>
      <c r="B2" s="10" t="n">
        <v>2</v>
      </c>
      <c r="C2" s="9" t="s">
        <v>9</v>
      </c>
      <c r="D2" s="10" t="n">
        <v>1</v>
      </c>
      <c r="E2" s="10" t="n">
        <f aca="false">B2-D2</f>
        <v>1</v>
      </c>
      <c r="F2" s="10" t="str">
        <f aca="false">IF(D2&lt;B2,"Sí","NO - revisar")</f>
        <v>Sí</v>
      </c>
    </row>
    <row r="3" customFormat="false" ht="15" hidden="false" customHeight="false" outlineLevel="0" collapsed="false">
      <c r="A3" s="9" t="s">
        <v>25</v>
      </c>
      <c r="B3" s="10" t="n">
        <v>2</v>
      </c>
      <c r="C3" s="9" t="s">
        <v>13</v>
      </c>
      <c r="D3" s="10" t="n">
        <v>1</v>
      </c>
      <c r="E3" s="10" t="n">
        <f aca="false">B3-D3</f>
        <v>1</v>
      </c>
      <c r="F3" s="10" t="str">
        <f aca="false">IF(D3&lt;B3,"Sí","NO - revisar")</f>
        <v>Sí</v>
      </c>
    </row>
    <row r="4" customFormat="false" ht="15" hidden="false" customHeight="false" outlineLevel="0" collapsed="false">
      <c r="A4" s="9" t="s">
        <v>31</v>
      </c>
      <c r="B4" s="10" t="n">
        <v>2</v>
      </c>
      <c r="C4" s="9" t="s">
        <v>19</v>
      </c>
      <c r="D4" s="10" t="n">
        <v>1</v>
      </c>
      <c r="E4" s="10" t="n">
        <f aca="false">B4-D4</f>
        <v>1</v>
      </c>
      <c r="F4" s="10" t="str">
        <f aca="false">IF(D4&lt;B4,"Sí","NO - revisar")</f>
        <v>Sí</v>
      </c>
    </row>
    <row r="5" customFormat="false" ht="15" hidden="false" customHeight="false" outlineLevel="0" collapsed="false">
      <c r="A5" s="9" t="s">
        <v>33</v>
      </c>
      <c r="B5" s="10" t="n">
        <v>3</v>
      </c>
      <c r="C5" s="9" t="s">
        <v>21</v>
      </c>
      <c r="D5" s="10" t="n">
        <v>2</v>
      </c>
      <c r="E5" s="10" t="n">
        <f aca="false">B5-D5</f>
        <v>1</v>
      </c>
      <c r="F5" s="10" t="str">
        <f aca="false">IF(D5&lt;B5,"Sí","NO - revisar")</f>
        <v>Sí</v>
      </c>
    </row>
    <row r="6" customFormat="false" ht="15" hidden="false" customHeight="false" outlineLevel="0" collapsed="false">
      <c r="A6" s="9" t="s">
        <v>33</v>
      </c>
      <c r="B6" s="10" t="n">
        <v>3</v>
      </c>
      <c r="C6" s="9" t="s">
        <v>11</v>
      </c>
      <c r="D6" s="10" t="n">
        <v>1</v>
      </c>
      <c r="E6" s="10" t="n">
        <f aca="false">B6-D6</f>
        <v>2</v>
      </c>
      <c r="F6" s="10" t="str">
        <f aca="false">IF(D6&lt;B6,"Sí","NO - revisar")</f>
        <v>Sí</v>
      </c>
    </row>
    <row r="7" customFormat="false" ht="15" hidden="false" customHeight="false" outlineLevel="0" collapsed="false">
      <c r="A7" s="9" t="s">
        <v>35</v>
      </c>
      <c r="B7" s="10" t="n">
        <v>3</v>
      </c>
      <c r="C7" s="9" t="s">
        <v>21</v>
      </c>
      <c r="D7" s="10" t="n">
        <v>2</v>
      </c>
      <c r="E7" s="10" t="n">
        <f aca="false">B7-D7</f>
        <v>1</v>
      </c>
      <c r="F7" s="10" t="str">
        <f aca="false">IF(D7&lt;B7,"Sí","NO - revisar")</f>
        <v>Sí</v>
      </c>
    </row>
    <row r="8" customFormat="false" ht="15" hidden="false" customHeight="false" outlineLevel="0" collapsed="false">
      <c r="A8" s="9" t="s">
        <v>37</v>
      </c>
      <c r="B8" s="10" t="n">
        <v>3</v>
      </c>
      <c r="C8" s="9" t="s">
        <v>25</v>
      </c>
      <c r="D8" s="10" t="n">
        <v>2</v>
      </c>
      <c r="E8" s="10" t="n">
        <f aca="false">B8-D8</f>
        <v>1</v>
      </c>
      <c r="F8" s="10" t="str">
        <f aca="false">IF(D8&lt;B8,"Sí","NO - revisar")</f>
        <v>Sí</v>
      </c>
    </row>
    <row r="9" customFormat="false" ht="15" hidden="false" customHeight="false" outlineLevel="0" collapsed="false">
      <c r="A9" s="9" t="s">
        <v>39</v>
      </c>
      <c r="B9" s="10" t="n">
        <v>3</v>
      </c>
      <c r="C9" s="9" t="s">
        <v>21</v>
      </c>
      <c r="D9" s="10" t="n">
        <v>2</v>
      </c>
      <c r="E9" s="10" t="n">
        <f aca="false">B9-D9</f>
        <v>1</v>
      </c>
      <c r="F9" s="10" t="str">
        <f aca="false">IF(D9&lt;B9,"Sí","NO - revisar")</f>
        <v>Sí</v>
      </c>
    </row>
    <row r="10" customFormat="false" ht="15" hidden="false" customHeight="false" outlineLevel="0" collapsed="false">
      <c r="A10" s="9" t="s">
        <v>41</v>
      </c>
      <c r="B10" s="10" t="n">
        <v>3</v>
      </c>
      <c r="C10" s="9" t="s">
        <v>23</v>
      </c>
      <c r="D10" s="10" t="n">
        <v>2</v>
      </c>
      <c r="E10" s="10" t="n">
        <f aca="false">B10-D10</f>
        <v>1</v>
      </c>
      <c r="F10" s="10" t="str">
        <f aca="false">IF(D10&lt;B10,"Sí","NO - revisar")</f>
        <v>Sí</v>
      </c>
    </row>
    <row r="11" customFormat="false" ht="15" hidden="false" customHeight="false" outlineLevel="0" collapsed="false">
      <c r="A11" s="9" t="s">
        <v>45</v>
      </c>
      <c r="B11" s="10" t="n">
        <v>4</v>
      </c>
      <c r="C11" s="9" t="s">
        <v>35</v>
      </c>
      <c r="D11" s="10" t="n">
        <v>3</v>
      </c>
      <c r="E11" s="10" t="n">
        <f aca="false">B11-D11</f>
        <v>1</v>
      </c>
      <c r="F11" s="10" t="str">
        <f aca="false">IF(D11&lt;B11,"Sí","NO - revisar")</f>
        <v>Sí</v>
      </c>
    </row>
    <row r="12" customFormat="false" ht="15" hidden="false" customHeight="false" outlineLevel="0" collapsed="false">
      <c r="A12" s="9" t="s">
        <v>45</v>
      </c>
      <c r="B12" s="10" t="n">
        <v>4</v>
      </c>
      <c r="C12" s="9" t="s">
        <v>11</v>
      </c>
      <c r="D12" s="10" t="n">
        <v>1</v>
      </c>
      <c r="E12" s="10" t="n">
        <f aca="false">B12-D12</f>
        <v>3</v>
      </c>
      <c r="F12" s="10" t="str">
        <f aca="false">IF(D12&lt;B12,"Sí","NO - revisar")</f>
        <v>Sí</v>
      </c>
    </row>
    <row r="13" customFormat="false" ht="15" hidden="false" customHeight="false" outlineLevel="0" collapsed="false">
      <c r="A13" s="9" t="s">
        <v>47</v>
      </c>
      <c r="B13" s="10" t="n">
        <v>4</v>
      </c>
      <c r="C13" s="9" t="s">
        <v>25</v>
      </c>
      <c r="D13" s="10" t="n">
        <v>2</v>
      </c>
      <c r="E13" s="10" t="n">
        <f aca="false">B13-D13</f>
        <v>2</v>
      </c>
      <c r="F13" s="10" t="str">
        <f aca="false">IF(D13&lt;B13,"Sí","NO - revisar")</f>
        <v>Sí</v>
      </c>
    </row>
    <row r="14" customFormat="false" ht="15" hidden="false" customHeight="false" outlineLevel="0" collapsed="false">
      <c r="A14" s="9" t="s">
        <v>49</v>
      </c>
      <c r="B14" s="10" t="n">
        <v>4</v>
      </c>
      <c r="C14" s="9" t="s">
        <v>37</v>
      </c>
      <c r="D14" s="10" t="n">
        <v>3</v>
      </c>
      <c r="E14" s="10" t="n">
        <f aca="false">B14-D14</f>
        <v>1</v>
      </c>
      <c r="F14" s="10" t="str">
        <f aca="false">IF(D14&lt;B14,"Sí","NO - revisar")</f>
        <v>Sí</v>
      </c>
    </row>
    <row r="15" customFormat="false" ht="15" hidden="false" customHeight="false" outlineLevel="0" collapsed="false">
      <c r="A15" s="9" t="s">
        <v>49</v>
      </c>
      <c r="B15" s="10" t="n">
        <v>4</v>
      </c>
      <c r="C15" s="9" t="s">
        <v>29</v>
      </c>
      <c r="D15" s="10" t="n">
        <v>2</v>
      </c>
      <c r="E15" s="10" t="n">
        <f aca="false">B15-D15</f>
        <v>2</v>
      </c>
      <c r="F15" s="10" t="str">
        <f aca="false">IF(D15&lt;B15,"Sí","NO - revisar")</f>
        <v>Sí</v>
      </c>
    </row>
    <row r="16" customFormat="false" ht="15" hidden="false" customHeight="false" outlineLevel="0" collapsed="false">
      <c r="A16" s="9" t="s">
        <v>51</v>
      </c>
      <c r="B16" s="10" t="n">
        <v>4</v>
      </c>
      <c r="C16" s="9" t="s">
        <v>39</v>
      </c>
      <c r="D16" s="10" t="n">
        <v>3</v>
      </c>
      <c r="E16" s="10" t="n">
        <f aca="false">B16-D16</f>
        <v>1</v>
      </c>
      <c r="F16" s="10" t="str">
        <f aca="false">IF(D16&lt;B16,"Sí","NO - revisar")</f>
        <v>Sí</v>
      </c>
    </row>
    <row r="17" customFormat="false" ht="15" hidden="false" customHeight="false" outlineLevel="0" collapsed="false">
      <c r="A17" s="9" t="s">
        <v>53</v>
      </c>
      <c r="B17" s="10" t="n">
        <v>4</v>
      </c>
      <c r="C17" s="9" t="s">
        <v>39</v>
      </c>
      <c r="D17" s="10" t="n">
        <v>3</v>
      </c>
      <c r="E17" s="10" t="n">
        <f aca="false">B17-D17</f>
        <v>1</v>
      </c>
      <c r="F17" s="10" t="str">
        <f aca="false">IF(D17&lt;B17,"Sí","NO - revisar")</f>
        <v>Sí</v>
      </c>
    </row>
    <row r="18" customFormat="false" ht="15" hidden="false" customHeight="false" outlineLevel="0" collapsed="false">
      <c r="A18" s="9" t="s">
        <v>55</v>
      </c>
      <c r="B18" s="10" t="n">
        <v>4</v>
      </c>
      <c r="C18" s="9" t="s">
        <v>37</v>
      </c>
      <c r="D18" s="10" t="n">
        <v>3</v>
      </c>
      <c r="E18" s="10" t="n">
        <f aca="false">B18-D18</f>
        <v>1</v>
      </c>
      <c r="F18" s="10" t="str">
        <f aca="false">IF(D18&lt;B18,"Sí","NO - revisar")</f>
        <v>Sí</v>
      </c>
    </row>
    <row r="19" customFormat="false" ht="15" hidden="false" customHeight="false" outlineLevel="0" collapsed="false">
      <c r="A19" s="9" t="s">
        <v>55</v>
      </c>
      <c r="B19" s="10" t="n">
        <v>4</v>
      </c>
      <c r="C19" s="9" t="s">
        <v>29</v>
      </c>
      <c r="D19" s="10" t="n">
        <v>2</v>
      </c>
      <c r="E19" s="10" t="n">
        <f aca="false">B19-D19</f>
        <v>2</v>
      </c>
      <c r="F19" s="10" t="str">
        <f aca="false">IF(D19&lt;B19,"Sí","NO - revisar")</f>
        <v>Sí</v>
      </c>
    </row>
    <row r="20" customFormat="false" ht="15" hidden="false" customHeight="false" outlineLevel="0" collapsed="false">
      <c r="A20" s="9" t="s">
        <v>57</v>
      </c>
      <c r="B20" s="10" t="n">
        <v>5</v>
      </c>
      <c r="C20" s="9" t="s">
        <v>45</v>
      </c>
      <c r="D20" s="10" t="n">
        <v>4</v>
      </c>
      <c r="E20" s="10" t="n">
        <f aca="false">B20-D20</f>
        <v>1</v>
      </c>
      <c r="F20" s="10" t="str">
        <f aca="false">IF(D20&lt;B20,"Sí","NO - revisar")</f>
        <v>Sí</v>
      </c>
    </row>
    <row r="21" customFormat="false" ht="15" hidden="false" customHeight="false" outlineLevel="0" collapsed="false">
      <c r="A21" s="9" t="s">
        <v>57</v>
      </c>
      <c r="B21" s="10" t="n">
        <v>5</v>
      </c>
      <c r="C21" s="9" t="s">
        <v>47</v>
      </c>
      <c r="D21" s="10" t="n">
        <v>4</v>
      </c>
      <c r="E21" s="10" t="n">
        <f aca="false">B21-D21</f>
        <v>1</v>
      </c>
      <c r="F21" s="10" t="str">
        <f aca="false">IF(D21&lt;B21,"Sí","NO - revisar")</f>
        <v>Sí</v>
      </c>
    </row>
    <row r="22" customFormat="false" ht="15" hidden="false" customHeight="false" outlineLevel="0" collapsed="false">
      <c r="A22" s="9" t="s">
        <v>59</v>
      </c>
      <c r="B22" s="10" t="n">
        <v>5</v>
      </c>
      <c r="C22" s="9" t="s">
        <v>45</v>
      </c>
      <c r="D22" s="10" t="n">
        <v>4</v>
      </c>
      <c r="E22" s="10" t="n">
        <f aca="false">B22-D22</f>
        <v>1</v>
      </c>
      <c r="F22" s="10" t="str">
        <f aca="false">IF(D22&lt;B22,"Sí","NO - revisar")</f>
        <v>Sí</v>
      </c>
    </row>
    <row r="23" customFormat="false" ht="15" hidden="false" customHeight="false" outlineLevel="0" collapsed="false">
      <c r="A23" s="9" t="s">
        <v>59</v>
      </c>
      <c r="B23" s="10" t="n">
        <v>5</v>
      </c>
      <c r="C23" s="9" t="s">
        <v>55</v>
      </c>
      <c r="D23" s="10" t="n">
        <v>4</v>
      </c>
      <c r="E23" s="10" t="n">
        <f aca="false">B23-D23</f>
        <v>1</v>
      </c>
      <c r="F23" s="10" t="str">
        <f aca="false">IF(D23&lt;B23,"Sí","NO - revisar")</f>
        <v>Sí</v>
      </c>
    </row>
    <row r="24" customFormat="false" ht="15" hidden="false" customHeight="false" outlineLevel="0" collapsed="false">
      <c r="A24" s="9" t="s">
        <v>61</v>
      </c>
      <c r="B24" s="10" t="n">
        <v>5</v>
      </c>
      <c r="C24" s="9" t="s">
        <v>33</v>
      </c>
      <c r="D24" s="10" t="n">
        <v>3</v>
      </c>
      <c r="E24" s="10" t="n">
        <f aca="false">B24-D24</f>
        <v>2</v>
      </c>
      <c r="F24" s="10" t="str">
        <f aca="false">IF(D24&lt;B24,"Sí","NO - revisar")</f>
        <v>Sí</v>
      </c>
    </row>
    <row r="25" customFormat="false" ht="15" hidden="false" customHeight="false" outlineLevel="0" collapsed="false">
      <c r="A25" s="9" t="s">
        <v>63</v>
      </c>
      <c r="B25" s="10" t="n">
        <v>5</v>
      </c>
      <c r="C25" s="9" t="s">
        <v>55</v>
      </c>
      <c r="D25" s="10" t="n">
        <v>4</v>
      </c>
      <c r="E25" s="10" t="n">
        <f aca="false">B25-D25</f>
        <v>1</v>
      </c>
      <c r="F25" s="10" t="str">
        <f aca="false">IF(D25&lt;B25,"Sí","NO - revisar")</f>
        <v>Sí</v>
      </c>
    </row>
    <row r="26" customFormat="false" ht="15" hidden="false" customHeight="false" outlineLevel="0" collapsed="false">
      <c r="A26" s="9" t="s">
        <v>65</v>
      </c>
      <c r="B26" s="10" t="n">
        <v>5</v>
      </c>
      <c r="C26" s="9" t="s">
        <v>45</v>
      </c>
      <c r="D26" s="10" t="n">
        <v>4</v>
      </c>
      <c r="E26" s="10" t="n">
        <f aca="false">B26-D26</f>
        <v>1</v>
      </c>
      <c r="F26" s="10" t="str">
        <f aca="false">IF(D26&lt;B26,"Sí","NO - revisar")</f>
        <v>Sí</v>
      </c>
    </row>
    <row r="27" customFormat="false" ht="15" hidden="false" customHeight="false" outlineLevel="0" collapsed="false">
      <c r="A27" s="9" t="s">
        <v>65</v>
      </c>
      <c r="B27" s="10" t="n">
        <v>5</v>
      </c>
      <c r="C27" s="9" t="s">
        <v>33</v>
      </c>
      <c r="D27" s="10" t="n">
        <v>3</v>
      </c>
      <c r="E27" s="10" t="n">
        <f aca="false">B27-D27</f>
        <v>2</v>
      </c>
      <c r="F27" s="10" t="str">
        <f aca="false">IF(D27&lt;B27,"Sí","NO - revisar")</f>
        <v>Sí</v>
      </c>
    </row>
    <row r="28" customFormat="false" ht="15" hidden="false" customHeight="false" outlineLevel="0" collapsed="false">
      <c r="A28" s="9" t="s">
        <v>67</v>
      </c>
      <c r="B28" s="10" t="n">
        <v>5</v>
      </c>
      <c r="C28" s="9" t="s">
        <v>45</v>
      </c>
      <c r="D28" s="10" t="n">
        <v>4</v>
      </c>
      <c r="E28" s="10" t="n">
        <f aca="false">B28-D28</f>
        <v>1</v>
      </c>
      <c r="F28" s="10" t="str">
        <f aca="false">IF(D28&lt;B28,"Sí","NO - revisar")</f>
        <v>Sí</v>
      </c>
    </row>
    <row r="29" customFormat="false" ht="15" hidden="false" customHeight="false" outlineLevel="0" collapsed="false">
      <c r="A29" s="9" t="s">
        <v>69</v>
      </c>
      <c r="B29" s="10" t="n">
        <v>6</v>
      </c>
      <c r="C29" s="9" t="s">
        <v>33</v>
      </c>
      <c r="D29" s="10" t="n">
        <v>3</v>
      </c>
      <c r="E29" s="10" t="n">
        <f aca="false">B29-D29</f>
        <v>3</v>
      </c>
      <c r="F29" s="10" t="str">
        <f aca="false">IF(D29&lt;B29,"Sí","NO - revisar")</f>
        <v>Sí</v>
      </c>
    </row>
    <row r="30" customFormat="false" ht="15" hidden="false" customHeight="false" outlineLevel="0" collapsed="false">
      <c r="A30" s="9" t="s">
        <v>71</v>
      </c>
      <c r="B30" s="10" t="n">
        <v>6</v>
      </c>
      <c r="C30" s="9" t="s">
        <v>57</v>
      </c>
      <c r="D30" s="10" t="n">
        <v>5</v>
      </c>
      <c r="E30" s="10" t="n">
        <f aca="false">B30-D30</f>
        <v>1</v>
      </c>
      <c r="F30" s="10" t="str">
        <f aca="false">IF(D30&lt;B30,"Sí","NO - revisar")</f>
        <v>Sí</v>
      </c>
    </row>
    <row r="31" customFormat="false" ht="15" hidden="false" customHeight="false" outlineLevel="0" collapsed="false">
      <c r="A31" s="9" t="s">
        <v>73</v>
      </c>
      <c r="B31" s="10" t="n">
        <v>6</v>
      </c>
      <c r="C31" s="9" t="s">
        <v>53</v>
      </c>
      <c r="D31" s="10" t="n">
        <v>4</v>
      </c>
      <c r="E31" s="10" t="n">
        <f aca="false">B31-D31</f>
        <v>2</v>
      </c>
      <c r="F31" s="10" t="str">
        <f aca="false">IF(D31&lt;B31,"Sí","NO - revisar")</f>
        <v>Sí</v>
      </c>
    </row>
    <row r="32" customFormat="false" ht="15" hidden="false" customHeight="false" outlineLevel="0" collapsed="false">
      <c r="A32" s="9" t="s">
        <v>73</v>
      </c>
      <c r="B32" s="10" t="n">
        <v>6</v>
      </c>
      <c r="C32" s="9" t="s">
        <v>45</v>
      </c>
      <c r="D32" s="10" t="n">
        <v>4</v>
      </c>
      <c r="E32" s="10" t="n">
        <f aca="false">B32-D32</f>
        <v>2</v>
      </c>
      <c r="F32" s="10" t="str">
        <f aca="false">IF(D32&lt;B32,"Sí","NO - revisar")</f>
        <v>Sí</v>
      </c>
    </row>
    <row r="33" customFormat="false" ht="15" hidden="false" customHeight="false" outlineLevel="0" collapsed="false">
      <c r="A33" s="9" t="s">
        <v>75</v>
      </c>
      <c r="B33" s="10" t="n">
        <v>6</v>
      </c>
      <c r="C33" s="9" t="s">
        <v>45</v>
      </c>
      <c r="D33" s="10" t="n">
        <v>4</v>
      </c>
      <c r="E33" s="10" t="n">
        <f aca="false">B33-D33</f>
        <v>2</v>
      </c>
      <c r="F33" s="10" t="str">
        <f aca="false">IF(D33&lt;B33,"Sí","NO - revisar")</f>
        <v>Sí</v>
      </c>
    </row>
    <row r="34" customFormat="false" ht="15" hidden="false" customHeight="false" outlineLevel="0" collapsed="false">
      <c r="A34" s="9" t="s">
        <v>77</v>
      </c>
      <c r="B34" s="10" t="n">
        <v>6</v>
      </c>
      <c r="C34" s="9" t="s">
        <v>45</v>
      </c>
      <c r="D34" s="10" t="n">
        <v>4</v>
      </c>
      <c r="E34" s="10" t="n">
        <f aca="false">B34-D34</f>
        <v>2</v>
      </c>
      <c r="F34" s="10" t="str">
        <f aca="false">IF(D34&lt;B34,"Sí","NO - revisar")</f>
        <v>Sí</v>
      </c>
    </row>
    <row r="35" customFormat="false" ht="15" hidden="false" customHeight="false" outlineLevel="0" collapsed="false">
      <c r="A35" s="9" t="s">
        <v>81</v>
      </c>
      <c r="B35" s="10" t="n">
        <v>7</v>
      </c>
      <c r="C35" s="9" t="s">
        <v>63</v>
      </c>
      <c r="D35" s="10" t="n">
        <v>5</v>
      </c>
      <c r="E35" s="10" t="n">
        <f aca="false">B35-D35</f>
        <v>2</v>
      </c>
      <c r="F35" s="10" t="str">
        <f aca="false">IF(D35&lt;B35,"Sí","NO - revisar")</f>
        <v>Sí</v>
      </c>
    </row>
    <row r="36" customFormat="false" ht="15" hidden="false" customHeight="false" outlineLevel="0" collapsed="false">
      <c r="A36" s="9" t="s">
        <v>81</v>
      </c>
      <c r="B36" s="10" t="n">
        <v>7</v>
      </c>
      <c r="C36" s="9" t="s">
        <v>57</v>
      </c>
      <c r="D36" s="10" t="n">
        <v>5</v>
      </c>
      <c r="E36" s="10" t="n">
        <f aca="false">B36-D36</f>
        <v>2</v>
      </c>
      <c r="F36" s="10" t="str">
        <f aca="false">IF(D36&lt;B36,"Sí","NO - revisar")</f>
        <v>Sí</v>
      </c>
    </row>
    <row r="37" customFormat="false" ht="15" hidden="false" customHeight="false" outlineLevel="0" collapsed="false">
      <c r="A37" s="9" t="s">
        <v>83</v>
      </c>
      <c r="B37" s="10" t="n">
        <v>7</v>
      </c>
      <c r="C37" s="9" t="s">
        <v>73</v>
      </c>
      <c r="D37" s="10" t="n">
        <v>6</v>
      </c>
      <c r="E37" s="10" t="n">
        <f aca="false">B37-D37</f>
        <v>1</v>
      </c>
      <c r="F37" s="10" t="str">
        <f aca="false">IF(D37&lt;B37,"Sí","NO - revisar")</f>
        <v>Sí</v>
      </c>
    </row>
    <row r="38" customFormat="false" ht="15" hidden="false" customHeight="false" outlineLevel="0" collapsed="false">
      <c r="A38" s="9" t="s">
        <v>83</v>
      </c>
      <c r="B38" s="10" t="n">
        <v>7</v>
      </c>
      <c r="C38" s="9" t="s">
        <v>79</v>
      </c>
      <c r="D38" s="10" t="n">
        <v>6</v>
      </c>
      <c r="E38" s="10" t="n">
        <f aca="false">B38-D38</f>
        <v>1</v>
      </c>
      <c r="F38" s="10" t="str">
        <f aca="false">IF(D38&lt;B38,"Sí","NO - revisar")</f>
        <v>Sí</v>
      </c>
    </row>
    <row r="39" customFormat="false" ht="15" hidden="false" customHeight="false" outlineLevel="0" collapsed="false">
      <c r="A39" s="9" t="s">
        <v>85</v>
      </c>
      <c r="B39" s="10" t="n">
        <v>7</v>
      </c>
      <c r="C39" s="9" t="s">
        <v>31</v>
      </c>
      <c r="D39" s="10" t="n">
        <v>2</v>
      </c>
      <c r="E39" s="10" t="n">
        <f aca="false">B39-D39</f>
        <v>5</v>
      </c>
      <c r="F39" s="10" t="str">
        <f aca="false">IF(D39&lt;B39,"Sí","NO - revisar")</f>
        <v>Sí</v>
      </c>
    </row>
    <row r="40" customFormat="false" ht="15" hidden="false" customHeight="false" outlineLevel="0" collapsed="false">
      <c r="A40" s="9" t="s">
        <v>87</v>
      </c>
      <c r="B40" s="10" t="n">
        <v>7</v>
      </c>
      <c r="C40" s="9" t="s">
        <v>45</v>
      </c>
      <c r="D40" s="10" t="n">
        <v>4</v>
      </c>
      <c r="E40" s="10" t="n">
        <f aca="false">B40-D40</f>
        <v>3</v>
      </c>
      <c r="F40" s="10" t="str">
        <f aca="false">IF(D40&lt;B40,"Sí","NO - revisar")</f>
        <v>Sí</v>
      </c>
    </row>
    <row r="41" customFormat="false" ht="15" hidden="false" customHeight="false" outlineLevel="0" collapsed="false">
      <c r="A41" s="9" t="s">
        <v>89</v>
      </c>
      <c r="B41" s="10" t="n">
        <v>7</v>
      </c>
      <c r="C41" s="9" t="s">
        <v>45</v>
      </c>
      <c r="D41" s="10" t="n">
        <v>4</v>
      </c>
      <c r="E41" s="10" t="n">
        <f aca="false">B41-D41</f>
        <v>3</v>
      </c>
      <c r="F41" s="10" t="str">
        <f aca="false">IF(D41&lt;B41,"Sí","NO - revisar")</f>
        <v>Sí</v>
      </c>
    </row>
    <row r="42" customFormat="false" ht="15" hidden="false" customHeight="false" outlineLevel="0" collapsed="false">
      <c r="A42" s="9" t="s">
        <v>91</v>
      </c>
      <c r="B42" s="10" t="n">
        <v>8</v>
      </c>
      <c r="C42" s="9" t="s">
        <v>31</v>
      </c>
      <c r="D42" s="10" t="n">
        <v>2</v>
      </c>
      <c r="E42" s="10" t="n">
        <f aca="false">B42-D42</f>
        <v>6</v>
      </c>
      <c r="F42" s="10" t="str">
        <f aca="false">IF(D42&lt;B42,"Sí","NO - revisar")</f>
        <v>Sí</v>
      </c>
    </row>
    <row r="43" customFormat="false" ht="15" hidden="false" customHeight="false" outlineLevel="0" collapsed="false">
      <c r="A43" s="9" t="s">
        <v>93</v>
      </c>
      <c r="B43" s="10" t="n">
        <v>8</v>
      </c>
      <c r="C43" s="9" t="s">
        <v>83</v>
      </c>
      <c r="D43" s="10" t="n">
        <v>7</v>
      </c>
      <c r="E43" s="10" t="n">
        <f aca="false">B43-D43</f>
        <v>1</v>
      </c>
      <c r="F43" s="10" t="str">
        <f aca="false">IF(D43&lt;B43,"Sí","NO - revisar")</f>
        <v>Sí</v>
      </c>
    </row>
    <row r="44" customFormat="false" ht="15" hidden="false" customHeight="false" outlineLevel="0" collapsed="false">
      <c r="A44" s="9" t="s">
        <v>95</v>
      </c>
      <c r="B44" s="10" t="n">
        <v>8</v>
      </c>
      <c r="C44" s="9" t="s">
        <v>83</v>
      </c>
      <c r="D44" s="10" t="n">
        <v>7</v>
      </c>
      <c r="E44" s="10" t="n">
        <f aca="false">B44-D44</f>
        <v>1</v>
      </c>
      <c r="F44" s="10" t="str">
        <f aca="false">IF(D44&lt;B44,"Sí","NO - revisar")</f>
        <v>Sí</v>
      </c>
    </row>
    <row r="45" customFormat="false" ht="15" hidden="false" customHeight="false" outlineLevel="0" collapsed="false">
      <c r="A45" s="9" t="s">
        <v>97</v>
      </c>
      <c r="B45" s="10" t="n">
        <v>8</v>
      </c>
      <c r="C45" s="9" t="s">
        <v>43</v>
      </c>
      <c r="D45" s="10" t="n">
        <v>3</v>
      </c>
      <c r="E45" s="10" t="n">
        <f aca="false">B45-D45</f>
        <v>5</v>
      </c>
      <c r="F45" s="10" t="str">
        <f aca="false">IF(D45&lt;B45,"Sí","NO - revisar")</f>
        <v>Sí</v>
      </c>
    </row>
  </sheetData>
  <autoFilter ref="A1:F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1" t="s">
        <v>107</v>
      </c>
    </row>
    <row r="2" customFormat="false" ht="15" hidden="false" customHeight="false" outlineLevel="0" collapsed="false">
      <c r="A2" s="7" t="s">
        <v>108</v>
      </c>
    </row>
    <row r="4" customFormat="false" ht="15" hidden="false" customHeight="false" outlineLevel="0" collapsed="false">
      <c r="A4" s="6" t="s">
        <v>109</v>
      </c>
      <c r="B4" s="12" t="n">
        <v>2</v>
      </c>
      <c r="C4" s="13" t="s">
        <v>110</v>
      </c>
    </row>
    <row r="5" customFormat="false" ht="15" hidden="false" customHeight="false" outlineLevel="0" collapsed="false">
      <c r="A5" s="6" t="s">
        <v>111</v>
      </c>
      <c r="B5" s="14" t="n">
        <f aca="false">MAX(Dependencias!A2:A46)</f>
        <v>8</v>
      </c>
    </row>
    <row r="7" customFormat="false" ht="48" hidden="false" customHeight="true" outlineLevel="0" collapsed="false">
      <c r="A7" s="1" t="s">
        <v>112</v>
      </c>
      <c r="B7" s="1" t="s">
        <v>113</v>
      </c>
      <c r="C7" s="1" t="s">
        <v>114</v>
      </c>
    </row>
    <row r="8" customFormat="false" ht="15" hidden="false" customHeight="false" outlineLevel="0" collapsed="false">
      <c r="A8" s="10" t="n">
        <v>1</v>
      </c>
      <c r="B8" s="10" t="n">
        <f aca="false">MIN($B$5,A8+$B$4)</f>
        <v>3</v>
      </c>
      <c r="C8" s="10" t="n">
        <f aca="false">COUNTIF(Dependencias!$A$2:$A$46,"&gt;"&amp;B8)</f>
        <v>27</v>
      </c>
    </row>
    <row r="9" customFormat="false" ht="15" hidden="false" customHeight="false" outlineLevel="0" collapsed="false">
      <c r="A9" s="10" t="n">
        <v>2</v>
      </c>
      <c r="B9" s="10" t="n">
        <f aca="false">MIN($B$5,A9+$B$4)</f>
        <v>4</v>
      </c>
      <c r="C9" s="10" t="n">
        <f aca="false">COUNTIF(Dependencias!$A$2:$A$46,"&gt;"&amp;B9)</f>
        <v>21</v>
      </c>
    </row>
    <row r="10" customFormat="false" ht="15" hidden="false" customHeight="false" outlineLevel="0" collapsed="false">
      <c r="A10" s="10" t="n">
        <v>3</v>
      </c>
      <c r="B10" s="10" t="n">
        <f aca="false">MIN($B$5,A10+$B$4)</f>
        <v>5</v>
      </c>
      <c r="C10" s="10" t="n">
        <f aca="false">COUNTIF(Dependencias!$A$2:$A$46,"&gt;"&amp;B10)</f>
        <v>15</v>
      </c>
    </row>
    <row r="11" customFormat="false" ht="15" hidden="false" customHeight="false" outlineLevel="0" collapsed="false">
      <c r="A11" s="10" t="n">
        <v>4</v>
      </c>
      <c r="B11" s="10" t="n">
        <f aca="false">MIN($B$5,A11+$B$4)</f>
        <v>6</v>
      </c>
      <c r="C11" s="10" t="n">
        <f aca="false">COUNTIF(Dependencias!$A$2:$A$46,"&gt;"&amp;B11)</f>
        <v>9</v>
      </c>
    </row>
    <row r="12" customFormat="false" ht="15" hidden="false" customHeight="false" outlineLevel="0" collapsed="false">
      <c r="A12" s="10" t="n">
        <v>5</v>
      </c>
      <c r="B12" s="10" t="n">
        <f aca="false">MIN($B$5,A12+$B$4)</f>
        <v>7</v>
      </c>
      <c r="C12" s="10" t="n">
        <f aca="false">COUNTIF(Dependencias!$A$2:$A$46,"&gt;"&amp;B12)</f>
        <v>4</v>
      </c>
    </row>
    <row r="13" customFormat="false" ht="15" hidden="false" customHeight="false" outlineLevel="0" collapsed="false">
      <c r="A13" s="10" t="n">
        <v>6</v>
      </c>
      <c r="B13" s="10" t="n">
        <f aca="false">MIN($B$5,A13+$B$4)</f>
        <v>8</v>
      </c>
      <c r="C13" s="10" t="n">
        <f aca="false">COUNTIF(Dependencias!$A$2:$A$46,"&gt;"&amp;B13)</f>
        <v>0</v>
      </c>
    </row>
    <row r="14" customFormat="false" ht="15" hidden="false" customHeight="false" outlineLevel="0" collapsed="false">
      <c r="A14" s="10" t="n">
        <v>7</v>
      </c>
      <c r="B14" s="10" t="n">
        <f aca="false">MIN($B$5,A14+$B$4)</f>
        <v>8</v>
      </c>
      <c r="C14" s="10" t="n">
        <f aca="false">COUNTIF(Dependencias!$A$2:$A$46,"&gt;"&amp;B14)</f>
        <v>0</v>
      </c>
    </row>
    <row r="15" customFormat="false" ht="15" hidden="false" customHeight="false" outlineLevel="0" collapsed="false">
      <c r="A15" s="10" t="n">
        <v>8</v>
      </c>
      <c r="B15" s="10" t="n">
        <f aca="false">MIN($B$5,A15+$B$4)</f>
        <v>8</v>
      </c>
      <c r="C15" s="10" t="n">
        <f aca="false">COUNTIF(Dependencias!$A$2:$A$46,"&gt;"&amp;B15)</f>
        <v>0</v>
      </c>
    </row>
    <row r="17" customFormat="false" ht="15" hidden="false" customHeight="false" outlineLevel="0" collapsed="false">
      <c r="A17" s="13" t="s">
        <v>115</v>
      </c>
    </row>
    <row r="19" customFormat="false" ht="15" hidden="false" customHeight="false" outlineLevel="0" collapsed="false">
      <c r="A19" s="6" t="s">
        <v>116</v>
      </c>
    </row>
    <row r="20" customFormat="false" ht="15" hidden="false" customHeight="false" outlineLevel="0" collapsed="false">
      <c r="A20" s="7" t="s">
        <v>117</v>
      </c>
    </row>
    <row r="21" customFormat="false" ht="15" hidden="false" customHeight="false" outlineLevel="0" collapsed="false">
      <c r="A21" s="7" t="s">
        <v>118</v>
      </c>
    </row>
    <row r="22" customFormat="false" ht="15" hidden="false" customHeight="false" outlineLevel="0" collapsed="false">
      <c r="A22" s="7" t="s">
        <v>119</v>
      </c>
    </row>
    <row r="23" customFormat="false" ht="15" hidden="false" customHeight="false" outlineLevel="0" collapsed="false">
      <c r="A23" s="7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1" t="s">
        <v>121</v>
      </c>
    </row>
    <row r="3" customFormat="false" ht="15" hidden="false" customHeight="false" outlineLevel="0" collapsed="false">
      <c r="A3" s="7" t="s">
        <v>122</v>
      </c>
    </row>
    <row r="4" customFormat="false" ht="15" hidden="false" customHeight="false" outlineLevel="0" collapsed="false">
      <c r="A4" s="7" t="s">
        <v>123</v>
      </c>
    </row>
    <row r="5" customFormat="false" ht="15" hidden="false" customHeight="false" outlineLevel="0" collapsed="false">
      <c r="A5" s="7" t="s">
        <v>124</v>
      </c>
    </row>
    <row r="6" customFormat="false" ht="15" hidden="false" customHeight="false" outlineLevel="0" collapsed="false">
      <c r="A6" s="7" t="s">
        <v>125</v>
      </c>
    </row>
    <row r="7" customFormat="false" ht="15" hidden="false" customHeight="false" outlineLevel="0" collapsed="false">
      <c r="A7" s="7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2026-10-23T06:07:34Z</dcterms:created>
  <dc:creator>openpyxl</dc:creator>
  <dc:description/>
  <dc:language>en-US</dc:language>
  <cp:lastModifiedBy/>
  <dcterms:modified xsi:type="dcterms:W3CDTF">2026-10-23T06:07:34Z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